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friday.joshua\Downloads\"/>
    </mc:Choice>
  </mc:AlternateContent>
  <xr:revisionPtr revIDLastSave="0" documentId="8_{EB99108C-D50C-4282-A7B8-A8C49C26EE33}" xr6:coauthVersionLast="47" xr6:coauthVersionMax="47" xr10:uidLastSave="{00000000-0000-0000-0000-000000000000}"/>
  <bookViews>
    <workbookView xWindow="-110" yWindow="-110" windowWidth="19420" windowHeight="11020" tabRatio="764" xr2:uid="{00000000-000D-0000-FFFF-FFFF00000000}"/>
  </bookViews>
  <sheets>
    <sheet name="COS101.1-IFT" sheetId="31" r:id="rId1"/>
  </sheets>
  <definedNames>
    <definedName name="_xlnm._FilterDatabase" localSheetId="0" hidden="1">'COS101.1-IFT'!$A$8:$AK$9</definedName>
    <definedName name="_xlnm.Print_Area" localSheetId="0">'COS101.1-IFT'!$A$1:$AI$9</definedName>
    <definedName name="Print_Area_0" localSheetId="0">'COS101.1-IFT'!$A$1:$V$9</definedName>
    <definedName name="_xlnm.Print_Titles" localSheetId="0">'COS101.1-IFT'!$1:$8</definedName>
    <definedName name="Print_Titles_0" localSheetId="0">'COS101.1-IFT'!$1:$7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31" l="1"/>
  <c r="W9" i="31"/>
  <c r="AB8" i="31" l="1"/>
  <c r="V5" i="31"/>
  <c r="X4" i="31"/>
  <c r="F9" i="31" l="1"/>
  <c r="G9" i="31"/>
  <c r="H9" i="31"/>
  <c r="I9" i="31"/>
  <c r="J9" i="31"/>
  <c r="K9" i="31"/>
  <c r="U9" i="31" l="1"/>
  <c r="C9" i="31" s="1"/>
  <c r="D9" i="31" s="1"/>
  <c r="U5" i="31" l="1"/>
  <c r="U6" i="31" s="1"/>
  <c r="Q5" i="31"/>
  <c r="Q6" i="31" s="1"/>
  <c r="P5" i="31"/>
  <c r="P6" i="31" s="1"/>
  <c r="R5" i="31"/>
  <c r="R6" i="31" s="1"/>
  <c r="T5" i="31"/>
  <c r="T6" i="31" s="1"/>
  <c r="S5" i="31"/>
  <c r="S6" i="31" s="1"/>
</calcChain>
</file>

<file path=xl/sharedStrings.xml><?xml version="1.0" encoding="utf-8"?>
<sst xmlns="http://schemas.openxmlformats.org/spreadsheetml/2006/main" count="57" uniqueCount="51">
  <si>
    <t>UNIVERSITY OF PORT HARCOURT</t>
  </si>
  <si>
    <t>COURSE EXAMINATION MARK SHEET     Regular</t>
  </si>
  <si>
    <t>Summary:</t>
  </si>
  <si>
    <t>Mod</t>
  </si>
  <si>
    <t>Grade:</t>
  </si>
  <si>
    <t>A</t>
  </si>
  <si>
    <t>B</t>
  </si>
  <si>
    <t>C</t>
  </si>
  <si>
    <t>D</t>
  </si>
  <si>
    <t>E</t>
  </si>
  <si>
    <t>F</t>
  </si>
  <si>
    <t>Total</t>
  </si>
  <si>
    <t>Total Sum</t>
  </si>
  <si>
    <t>Full Time Programme</t>
  </si>
  <si>
    <t>% of Class</t>
  </si>
  <si>
    <t>Cont. Assessment</t>
  </si>
  <si>
    <t>Examination Scores</t>
  </si>
  <si>
    <t>S/Nr.</t>
  </si>
  <si>
    <t>Matriculation No.</t>
  </si>
  <si>
    <t>Total
Score</t>
  </si>
  <si>
    <t>Letter
Grade</t>
  </si>
  <si>
    <t>Remarks</t>
  </si>
  <si>
    <t>Q1</t>
  </si>
  <si>
    <t>Q2</t>
  </si>
  <si>
    <t>Q3</t>
  </si>
  <si>
    <t>Q4</t>
  </si>
  <si>
    <t>Q5</t>
  </si>
  <si>
    <t>Q6</t>
  </si>
  <si>
    <t>Moderatn</t>
  </si>
  <si>
    <t>Penalty</t>
  </si>
  <si>
    <t>Boderline</t>
  </si>
  <si>
    <r>
      <rPr>
        <b/>
        <sz val="10"/>
        <rFont val="Arial Black"/>
        <family val="2"/>
      </rPr>
      <t xml:space="preserve">Exam
</t>
    </r>
    <r>
      <rPr>
        <b/>
        <sz val="9"/>
        <rFont val="Arial Black"/>
        <family val="2"/>
      </rPr>
      <t>(70%)</t>
    </r>
  </si>
  <si>
    <r>
      <rPr>
        <b/>
        <sz val="10"/>
        <rFont val="Arial Black"/>
        <family val="2"/>
      </rPr>
      <t xml:space="preserve">CA
</t>
    </r>
    <r>
      <rPr>
        <b/>
        <sz val="9"/>
        <rFont val="Arial Black"/>
        <family val="2"/>
      </rPr>
      <t>(30%)</t>
    </r>
  </si>
  <si>
    <t>Manual</t>
  </si>
  <si>
    <t>Test</t>
  </si>
  <si>
    <t>Practical</t>
  </si>
  <si>
    <t>Attendance</t>
  </si>
  <si>
    <t>Mat. No.</t>
  </si>
  <si>
    <t>(0)</t>
  </si>
  <si>
    <r>
      <t>Credit Units:</t>
    </r>
    <r>
      <rPr>
        <b/>
        <sz val="10"/>
        <rFont val="Arial"/>
        <family val="2"/>
      </rPr>
      <t xml:space="preserve">  3</t>
    </r>
  </si>
  <si>
    <t>(20)</t>
  </si>
  <si>
    <t>U2023/5571001</t>
  </si>
  <si>
    <r>
      <t>Semester:</t>
    </r>
    <r>
      <rPr>
        <b/>
        <sz val="10"/>
        <rFont val="Arial"/>
        <family val="2"/>
      </rPr>
      <t xml:space="preserve">  First</t>
    </r>
  </si>
  <si>
    <t>MCQ</t>
  </si>
  <si>
    <t>(5)</t>
  </si>
  <si>
    <t>U2024/5570001</t>
  </si>
  <si>
    <r>
      <t>Student Set:</t>
    </r>
    <r>
      <rPr>
        <b/>
        <sz val="10"/>
        <rFont val="Arial"/>
        <family val="2"/>
      </rPr>
      <t xml:space="preserve">  </t>
    </r>
    <r>
      <rPr>
        <sz val="10"/>
        <rFont val="Arial Black"/>
        <family val="2"/>
      </rPr>
      <t>U2024</t>
    </r>
  </si>
  <si>
    <r>
      <t>Course Code:</t>
    </r>
    <r>
      <rPr>
        <b/>
        <sz val="10"/>
        <rFont val="Arial"/>
        <family val="2"/>
      </rPr>
      <t xml:space="preserve"> GST 111.1</t>
    </r>
  </si>
  <si>
    <r>
      <t>Session:</t>
    </r>
    <r>
      <rPr>
        <b/>
        <sz val="10"/>
        <rFont val="Arial"/>
        <family val="2"/>
      </rPr>
      <t xml:space="preserve">  2025/2026</t>
    </r>
  </si>
  <si>
    <r>
      <t>Department:</t>
    </r>
    <r>
      <rPr>
        <b/>
        <sz val="10"/>
        <rFont val="Arial"/>
        <family val="2"/>
      </rPr>
      <t xml:space="preserve"> COMPUTER SCIENCE</t>
    </r>
  </si>
  <si>
    <r>
      <t>Course Title:</t>
    </r>
    <r>
      <rPr>
        <b/>
        <sz val="10"/>
        <rFont val="Arial"/>
        <family val="2"/>
      </rPr>
      <t xml:space="preserve"> Communication in English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</si>
</sst>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rgb="FF000000"/>
      <name val="Calibri"/>
      <charset val="1"/>
    </font>
    <font>
      <b/>
      <sz val="12"/>
      <name val="Arial Black"/>
      <family val="2"/>
    </font>
    <font>
      <b/>
      <sz val="10"/>
      <name val="Arial Black"/>
      <family val="2"/>
    </font>
    <font>
      <b/>
      <u/>
      <sz val="9"/>
      <name val="Arial Narrow"/>
      <family val="2"/>
    </font>
    <font>
      <sz val="10"/>
      <name val="Arial Black"/>
      <family val="2"/>
    </font>
    <font>
      <sz val="9"/>
      <name val="Arial Black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9"/>
      <name val="Arial Black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Arial"/>
      <family val="2"/>
    </font>
    <font>
      <sz val="10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99CCFF"/>
      </patternFill>
    </fill>
    <fill>
      <patternFill patternType="solid">
        <fgColor rgb="FF00B0F0"/>
        <bgColor rgb="FF33CCCC"/>
      </patternFill>
    </fill>
    <fill>
      <patternFill patternType="solid">
        <fgColor rgb="FF404040"/>
        <bgColor rgb="FF333300"/>
      </patternFill>
    </fill>
    <fill>
      <patternFill patternType="solid">
        <fgColor rgb="FFF2DCDB"/>
        <bgColor rgb="FFFCD5B5"/>
      </patternFill>
    </fill>
    <fill>
      <patternFill patternType="solid">
        <fgColor rgb="FFFCD5B5"/>
        <bgColor rgb="FFF2DCDB"/>
      </patternFill>
    </fill>
    <fill>
      <patternFill patternType="solid">
        <fgColor rgb="FFC00000"/>
        <bgColor rgb="FFFF0000"/>
      </patternFill>
    </fill>
    <fill>
      <patternFill patternType="solid">
        <fgColor rgb="FF000000"/>
        <bgColor rgb="FF0033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3" fillId="0" borderId="0"/>
    <xf numFmtId="0" fontId="12" fillId="0" borderId="0"/>
    <xf numFmtId="0" fontId="16" fillId="0" borderId="0"/>
    <xf numFmtId="0" fontId="11" fillId="0" borderId="0"/>
    <xf numFmtId="0" fontId="17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2" xfId="0" applyFont="1" applyBorder="1"/>
    <xf numFmtId="0" fontId="0" fillId="0" borderId="3" xfId="0" applyBorder="1"/>
    <xf numFmtId="0" fontId="6" fillId="0" borderId="2" xfId="0" applyFont="1" applyBorder="1"/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0" fillId="0" borderId="5" xfId="0" applyBorder="1"/>
    <xf numFmtId="164" fontId="9" fillId="2" borderId="6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164" fontId="2" fillId="4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4" fillId="7" borderId="0" xfId="0" applyFont="1" applyFill="1" applyAlignment="1">
      <alignment horizontal="center" vertical="center"/>
    </xf>
    <xf numFmtId="0" fontId="8" fillId="0" borderId="8" xfId="0" applyFont="1" applyBorder="1" applyAlignment="1">
      <alignment vertical="center" textRotation="90"/>
    </xf>
    <xf numFmtId="0" fontId="8" fillId="0" borderId="10" xfId="0" applyFont="1" applyBorder="1" applyAlignment="1">
      <alignment vertical="center" textRotation="90"/>
    </xf>
    <xf numFmtId="0" fontId="6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8" xfId="0" quotePrefix="1" applyFont="1" applyBorder="1" applyAlignment="1">
      <alignment horizontal="center" vertical="center"/>
    </xf>
    <xf numFmtId="0" fontId="16" fillId="0" borderId="0" xfId="3"/>
    <xf numFmtId="0" fontId="2" fillId="0" borderId="0" xfId="3" applyFont="1"/>
    <xf numFmtId="1" fontId="4" fillId="0" borderId="1" xfId="4" applyNumberFormat="1" applyFont="1" applyBorder="1" applyAlignment="1">
      <alignment horizontal="center" vertical="center"/>
    </xf>
    <xf numFmtId="0" fontId="10" fillId="0" borderId="0" xfId="0" applyFont="1"/>
    <xf numFmtId="0" fontId="17" fillId="0" borderId="0" xfId="5"/>
    <xf numFmtId="0" fontId="7" fillId="0" borderId="10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18" fillId="0" borderId="0" xfId="0" applyFont="1"/>
    <xf numFmtId="0" fontId="17" fillId="0" borderId="1" xfId="5" applyBorder="1" applyAlignment="1">
      <alignment horizontal="center"/>
    </xf>
    <xf numFmtId="49" fontId="0" fillId="0" borderId="0" xfId="0" applyNumberFormat="1"/>
    <xf numFmtId="0" fontId="19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90"/>
    </xf>
    <xf numFmtId="0" fontId="9" fillId="0" borderId="7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20000000}"/>
    <cellStyle name="Normal 3" xfId="2" xr:uid="{00000000-0005-0000-0000-000025000000}"/>
    <cellStyle name="Normal 3 2" xfId="4" xr:uid="{39652F1B-4048-4B11-9B1C-D440905445E0}"/>
    <cellStyle name="Normal 4" xfId="3" xr:uid="{1121DCB5-4542-4967-9C49-2B57ECD4EE27}"/>
    <cellStyle name="Normal 5" xfId="5" xr:uid="{0D8E3458-CC7C-4563-9C54-8368D9801061}"/>
  </cellStyles>
  <dxfs count="8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F2DCDB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6A39-1D05-47B3-965C-22074D94B5FC}">
  <dimension ref="A1:AM161"/>
  <sheetViews>
    <sheetView tabSelected="1" view="pageBreakPreview" zoomScale="70" zoomScaleNormal="70" zoomScaleSheetLayoutView="70" zoomScalePageLayoutView="70" workbookViewId="0">
      <selection activeCell="N19" sqref="N19"/>
    </sheetView>
  </sheetViews>
  <sheetFormatPr defaultColWidth="9" defaultRowHeight="14.5" x14ac:dyDescent="0.35"/>
  <cols>
    <col min="1" max="1" width="6.1796875" customWidth="1"/>
    <col min="2" max="2" width="25.81640625" customWidth="1"/>
    <col min="5" max="5" width="10" customWidth="1"/>
    <col min="6" max="11" width="4.453125" customWidth="1"/>
    <col min="12" max="13" width="3.81640625" customWidth="1"/>
    <col min="14" max="14" width="4.453125" customWidth="1"/>
    <col min="15" max="15" width="3.36328125" customWidth="1"/>
    <col min="16" max="20" width="3.81640625" customWidth="1"/>
    <col min="21" max="22" width="7.1796875" customWidth="1"/>
    <col min="23" max="28" width="5.1796875" customWidth="1"/>
    <col min="29" max="34" width="5.1796875" style="1" customWidth="1"/>
    <col min="35" max="35" width="19.453125" style="38" bestFit="1" customWidth="1"/>
    <col min="36" max="36" width="36.08984375" bestFit="1" customWidth="1"/>
    <col min="37" max="37" width="23.453125" customWidth="1"/>
    <col min="38" max="38" width="17" customWidth="1"/>
    <col min="39" max="39" width="4" customWidth="1"/>
    <col min="41" max="41" width="14.54296875" bestFit="1" customWidth="1"/>
  </cols>
  <sheetData>
    <row r="1" spans="1:39" ht="18" customHeight="1" x14ac:dyDescent="0.5">
      <c r="A1" s="2" t="s">
        <v>0</v>
      </c>
      <c r="F1" s="2" t="s">
        <v>1</v>
      </c>
      <c r="AC1"/>
      <c r="AD1"/>
      <c r="AE1"/>
      <c r="AF1"/>
      <c r="AG1"/>
      <c r="AH1"/>
    </row>
    <row r="2" spans="1:39" x14ac:dyDescent="0.35">
      <c r="AC2"/>
      <c r="AD2"/>
      <c r="AE2"/>
      <c r="AF2"/>
      <c r="AG2"/>
      <c r="AH2"/>
    </row>
    <row r="3" spans="1:39" ht="15.5" x14ac:dyDescent="0.45">
      <c r="A3" s="3" t="s">
        <v>49</v>
      </c>
      <c r="D3" s="36" t="s">
        <v>46</v>
      </c>
      <c r="F3" s="35"/>
      <c r="G3" s="36"/>
      <c r="H3" s="35"/>
      <c r="I3" s="36" t="s">
        <v>48</v>
      </c>
      <c r="K3" s="35"/>
      <c r="L3" s="35"/>
      <c r="N3" s="3" t="s">
        <v>2</v>
      </c>
      <c r="O3" s="3"/>
      <c r="P3" s="3"/>
      <c r="Q3" s="3"/>
      <c r="R3" s="3"/>
      <c r="X3" t="s">
        <v>3</v>
      </c>
      <c r="Y3" s="28">
        <v>39.9</v>
      </c>
      <c r="AC3"/>
      <c r="AD3"/>
      <c r="AE3"/>
      <c r="AF3"/>
      <c r="AG3"/>
      <c r="AH3"/>
    </row>
    <row r="4" spans="1:39" ht="15.5" x14ac:dyDescent="0.45">
      <c r="A4" s="3" t="s">
        <v>47</v>
      </c>
      <c r="D4" s="36" t="s">
        <v>39</v>
      </c>
      <c r="F4" s="35"/>
      <c r="G4" s="36"/>
      <c r="H4" s="35"/>
      <c r="I4" s="36" t="s">
        <v>42</v>
      </c>
      <c r="K4" s="35"/>
      <c r="L4" s="35"/>
      <c r="N4" s="10" t="s">
        <v>4</v>
      </c>
      <c r="O4" s="11"/>
      <c r="P4" s="5" t="s">
        <v>5</v>
      </c>
      <c r="Q4" s="5" t="s">
        <v>6</v>
      </c>
      <c r="R4" s="5" t="s">
        <v>7</v>
      </c>
      <c r="S4" s="5" t="s">
        <v>8</v>
      </c>
      <c r="T4" s="5" t="s">
        <v>9</v>
      </c>
      <c r="U4" s="5" t="s">
        <v>10</v>
      </c>
      <c r="V4" s="5" t="s">
        <v>11</v>
      </c>
      <c r="X4" s="21">
        <f>LN(40-$Y$3)/LN(100-$Y$3)</f>
        <v>-0.56215321302247234</v>
      </c>
      <c r="AC4"/>
      <c r="AD4"/>
      <c r="AE4"/>
      <c r="AF4"/>
      <c r="AG4"/>
      <c r="AH4"/>
    </row>
    <row r="5" spans="1:39" ht="15.5" x14ac:dyDescent="0.45">
      <c r="A5" s="3" t="s">
        <v>50</v>
      </c>
      <c r="D5" s="3"/>
      <c r="F5" s="3"/>
      <c r="N5" s="12" t="s">
        <v>12</v>
      </c>
      <c r="O5" s="11"/>
      <c r="P5" s="13">
        <f>COUNTIF($D$9:$D$34,"A")</f>
        <v>1</v>
      </c>
      <c r="Q5" s="13">
        <f>COUNTIF($D$9:$D$34,"B")</f>
        <v>0</v>
      </c>
      <c r="R5" s="13">
        <f>COUNTIF($D$9:$D$34,"C")</f>
        <v>0</v>
      </c>
      <c r="S5" s="13">
        <f>COUNTIF($D$9:$D$34,"D")</f>
        <v>0</v>
      </c>
      <c r="T5" s="13">
        <f>COUNTIF($D$9:$D$34,"E")</f>
        <v>0</v>
      </c>
      <c r="U5" s="13">
        <f>COUNTIF($D$9:$D$34,"F")</f>
        <v>0</v>
      </c>
      <c r="V5" s="13">
        <f>COUNT($A$9:$A$34)</f>
        <v>1</v>
      </c>
      <c r="AC5"/>
      <c r="AD5"/>
      <c r="AE5"/>
      <c r="AF5"/>
      <c r="AG5"/>
      <c r="AH5"/>
    </row>
    <row r="6" spans="1:39" ht="12.75" customHeight="1" thickBot="1" x14ac:dyDescent="0.4">
      <c r="A6" s="4" t="s">
        <v>13</v>
      </c>
      <c r="N6" s="14" t="s">
        <v>14</v>
      </c>
      <c r="O6" s="15"/>
      <c r="P6" s="16">
        <f t="shared" ref="P6:U6" si="0">P5/$V$5*100</f>
        <v>100</v>
      </c>
      <c r="Q6" s="16">
        <f t="shared" si="0"/>
        <v>0</v>
      </c>
      <c r="R6" s="16">
        <f t="shared" si="0"/>
        <v>0</v>
      </c>
      <c r="S6" s="16">
        <f t="shared" si="0"/>
        <v>0</v>
      </c>
      <c r="T6" s="16">
        <f t="shared" si="0"/>
        <v>0</v>
      </c>
      <c r="U6" s="16">
        <f t="shared" si="0"/>
        <v>0</v>
      </c>
      <c r="V6" s="22"/>
      <c r="X6" s="46" t="s">
        <v>15</v>
      </c>
      <c r="Y6" s="46"/>
      <c r="Z6" s="46"/>
      <c r="AA6" s="46"/>
      <c r="AC6" s="46" t="s">
        <v>16</v>
      </c>
      <c r="AD6" s="46"/>
      <c r="AE6" s="46"/>
      <c r="AF6" s="46"/>
      <c r="AG6" s="46"/>
      <c r="AH6" s="46"/>
    </row>
    <row r="7" spans="1:39" ht="30" customHeight="1" x14ac:dyDescent="0.45">
      <c r="A7" s="47" t="s">
        <v>17</v>
      </c>
      <c r="B7" s="47" t="s">
        <v>18</v>
      </c>
      <c r="C7" s="48" t="s">
        <v>19</v>
      </c>
      <c r="D7" s="48" t="s">
        <v>20</v>
      </c>
      <c r="E7" s="47" t="s">
        <v>21</v>
      </c>
      <c r="F7" s="47" t="s">
        <v>22</v>
      </c>
      <c r="G7" s="47" t="s">
        <v>23</v>
      </c>
      <c r="H7" s="47" t="s">
        <v>24</v>
      </c>
      <c r="I7" s="47" t="s">
        <v>25</v>
      </c>
      <c r="J7" s="47" t="s">
        <v>26</v>
      </c>
      <c r="K7" s="47" t="s">
        <v>43</v>
      </c>
      <c r="L7" s="51" t="s">
        <v>28</v>
      </c>
      <c r="M7" s="51" t="s">
        <v>29</v>
      </c>
      <c r="N7" s="52" t="s">
        <v>30</v>
      </c>
      <c r="O7" s="17"/>
      <c r="P7" s="17"/>
      <c r="Q7" s="53"/>
      <c r="S7" s="53"/>
      <c r="T7" s="53"/>
      <c r="U7" s="54" t="s">
        <v>31</v>
      </c>
      <c r="V7" s="54" t="s">
        <v>32</v>
      </c>
      <c r="W7" s="23"/>
      <c r="X7" s="29" t="s">
        <v>35</v>
      </c>
      <c r="Y7" s="29" t="s">
        <v>34</v>
      </c>
      <c r="Z7" s="29" t="s">
        <v>33</v>
      </c>
      <c r="AA7" s="30" t="s">
        <v>36</v>
      </c>
      <c r="AC7" s="49" t="s">
        <v>22</v>
      </c>
      <c r="AD7" s="56" t="s">
        <v>23</v>
      </c>
      <c r="AE7" s="56" t="s">
        <v>24</v>
      </c>
      <c r="AF7" s="56" t="s">
        <v>25</v>
      </c>
      <c r="AG7" s="56" t="s">
        <v>26</v>
      </c>
      <c r="AH7" s="55" t="s">
        <v>27</v>
      </c>
      <c r="AI7" s="42" t="s">
        <v>37</v>
      </c>
    </row>
    <row r="8" spans="1:39" ht="12.75" customHeight="1" x14ac:dyDescent="0.35">
      <c r="A8" s="47"/>
      <c r="B8" s="47"/>
      <c r="C8" s="48"/>
      <c r="D8" s="48"/>
      <c r="E8" s="47"/>
      <c r="F8" s="47"/>
      <c r="G8" s="47"/>
      <c r="H8" s="47"/>
      <c r="I8" s="47"/>
      <c r="J8" s="47"/>
      <c r="K8" s="47"/>
      <c r="L8" s="51"/>
      <c r="M8" s="51"/>
      <c r="N8" s="51"/>
      <c r="O8" s="18"/>
      <c r="P8" s="18"/>
      <c r="Q8" s="53"/>
      <c r="S8" s="53"/>
      <c r="T8" s="53"/>
      <c r="U8" s="54"/>
      <c r="V8" s="54"/>
      <c r="W8" s="24">
        <v>0.7</v>
      </c>
      <c r="X8" s="34" t="s">
        <v>44</v>
      </c>
      <c r="Y8" s="34" t="s">
        <v>44</v>
      </c>
      <c r="Z8" s="34" t="s">
        <v>40</v>
      </c>
      <c r="AA8" s="40" t="s">
        <v>38</v>
      </c>
      <c r="AB8" s="31">
        <f>70/70</f>
        <v>1</v>
      </c>
      <c r="AC8" s="50"/>
      <c r="AD8" s="56"/>
      <c r="AE8" s="56"/>
      <c r="AF8" s="56"/>
      <c r="AG8" s="56"/>
      <c r="AH8" s="55"/>
      <c r="AL8" s="39"/>
      <c r="AM8" s="39"/>
    </row>
    <row r="9" spans="1:39" ht="15" customHeight="1" x14ac:dyDescent="0.45">
      <c r="A9" s="6">
        <v>1</v>
      </c>
      <c r="B9" s="45" t="s">
        <v>45</v>
      </c>
      <c r="C9" s="37">
        <f t="shared" ref="C9" si="1">SUM(U9:V9)</f>
        <v>75.599999999999994</v>
      </c>
      <c r="D9" s="7" t="str">
        <f t="shared" ref="D9" si="2">IF(C9&lt;39.5,"F",IF(C9&lt;44.5,"E",IF(C9&lt;49.5,"D",IF(C9&lt;59.5,"C",IF(C9&lt;69.5,"B","A")))))</f>
        <v>A</v>
      </c>
      <c r="E9" s="8"/>
      <c r="F9" s="9">
        <f t="shared" ref="F9" si="3">ROUNDUP(AC9*$AB$8,0)</f>
        <v>0</v>
      </c>
      <c r="G9" s="9">
        <f t="shared" ref="G9" si="4">AD9*$AB$8</f>
        <v>0</v>
      </c>
      <c r="H9" s="9">
        <f t="shared" ref="H9" si="5">AE9*$AB$8</f>
        <v>0</v>
      </c>
      <c r="I9" s="9">
        <f t="shared" ref="I9" si="6">AF9*$AB$8</f>
        <v>0</v>
      </c>
      <c r="J9" s="9">
        <f t="shared" ref="J9" si="7">AG9*$AB$8</f>
        <v>0</v>
      </c>
      <c r="K9" s="9">
        <f t="shared" ref="K9" si="8">AH9*$AB$8</f>
        <v>54.6</v>
      </c>
      <c r="L9" s="19"/>
      <c r="M9" s="7"/>
      <c r="N9" s="7"/>
      <c r="O9" s="20"/>
      <c r="P9" s="20"/>
      <c r="Q9" s="20"/>
      <c r="R9" s="20"/>
      <c r="S9" s="20"/>
      <c r="T9" s="20"/>
      <c r="U9" s="25">
        <f t="shared" ref="U9" si="9">SUM(F9:T9)</f>
        <v>54.6</v>
      </c>
      <c r="V9" s="9">
        <f t="shared" ref="V9" si="10">SUM(X9:AA9)</f>
        <v>21</v>
      </c>
      <c r="W9" s="26">
        <f t="shared" ref="W9" si="11">SUM(AC9:AH9)</f>
        <v>54.6</v>
      </c>
      <c r="X9" s="27">
        <v>3</v>
      </c>
      <c r="Y9" s="27">
        <v>3</v>
      </c>
      <c r="Z9" s="32">
        <v>15</v>
      </c>
      <c r="AA9" s="33"/>
      <c r="AB9" s="41"/>
      <c r="AC9" s="43"/>
      <c r="AD9" s="33"/>
      <c r="AE9" s="33"/>
      <c r="AF9" s="33"/>
      <c r="AG9" s="33"/>
      <c r="AH9">
        <v>54.6</v>
      </c>
      <c r="AI9" s="44" t="s">
        <v>41</v>
      </c>
      <c r="AK9" s="39"/>
      <c r="AL9" s="39"/>
      <c r="AM9" s="39"/>
    </row>
    <row r="10" spans="1:39" ht="15.5" x14ac:dyDescent="0.45">
      <c r="B10" s="45"/>
      <c r="AC10"/>
      <c r="AD10"/>
      <c r="AE10"/>
      <c r="AF10"/>
      <c r="AG10"/>
      <c r="AH10"/>
    </row>
    <row r="11" spans="1:39" ht="15.5" x14ac:dyDescent="0.45">
      <c r="B11" s="45"/>
      <c r="AC11"/>
      <c r="AD11"/>
      <c r="AE11"/>
      <c r="AF11"/>
      <c r="AG11"/>
      <c r="AH11"/>
    </row>
    <row r="12" spans="1:39" ht="15.5" x14ac:dyDescent="0.45">
      <c r="B12" s="45"/>
      <c r="AC12"/>
      <c r="AD12"/>
      <c r="AE12"/>
      <c r="AF12"/>
      <c r="AG12"/>
      <c r="AH12"/>
    </row>
    <row r="13" spans="1:39" ht="15.5" x14ac:dyDescent="0.45">
      <c r="B13" s="45"/>
      <c r="AC13"/>
      <c r="AD13"/>
      <c r="AE13"/>
      <c r="AF13"/>
      <c r="AG13"/>
      <c r="AH13"/>
    </row>
    <row r="14" spans="1:39" ht="15.5" x14ac:dyDescent="0.45">
      <c r="B14" s="45"/>
      <c r="AC14"/>
      <c r="AD14"/>
      <c r="AE14"/>
      <c r="AF14"/>
      <c r="AG14"/>
      <c r="AH14"/>
    </row>
    <row r="15" spans="1:39" ht="15.5" x14ac:dyDescent="0.45">
      <c r="B15" s="45"/>
      <c r="AC15"/>
      <c r="AD15"/>
      <c r="AE15"/>
      <c r="AF15"/>
      <c r="AG15"/>
      <c r="AH15"/>
    </row>
    <row r="16" spans="1:39" ht="15.5" x14ac:dyDescent="0.45">
      <c r="B16" s="45"/>
      <c r="AC16"/>
      <c r="AD16"/>
      <c r="AE16"/>
      <c r="AF16"/>
      <c r="AG16"/>
      <c r="AH16"/>
    </row>
    <row r="17" spans="2:34" ht="15.5" x14ac:dyDescent="0.45">
      <c r="B17" s="45"/>
      <c r="AC17"/>
      <c r="AD17"/>
      <c r="AE17"/>
      <c r="AF17"/>
      <c r="AG17"/>
      <c r="AH17"/>
    </row>
    <row r="18" spans="2:34" ht="15.5" x14ac:dyDescent="0.45">
      <c r="B18" s="45"/>
      <c r="AC18"/>
      <c r="AD18"/>
      <c r="AE18"/>
      <c r="AF18"/>
      <c r="AG18"/>
      <c r="AH18"/>
    </row>
    <row r="19" spans="2:34" ht="15.5" x14ac:dyDescent="0.45">
      <c r="B19" s="45"/>
      <c r="AC19"/>
      <c r="AD19"/>
      <c r="AE19"/>
      <c r="AF19"/>
      <c r="AG19"/>
      <c r="AH19"/>
    </row>
    <row r="20" spans="2:34" ht="15.5" x14ac:dyDescent="0.45">
      <c r="B20" s="45"/>
      <c r="AC20"/>
      <c r="AD20"/>
      <c r="AE20"/>
      <c r="AF20"/>
      <c r="AG20"/>
      <c r="AH20"/>
    </row>
    <row r="21" spans="2:34" ht="15.5" x14ac:dyDescent="0.45">
      <c r="B21" s="45"/>
      <c r="AC21"/>
      <c r="AD21"/>
      <c r="AE21"/>
      <c r="AF21"/>
      <c r="AG21"/>
      <c r="AH21"/>
    </row>
    <row r="22" spans="2:34" ht="15.5" x14ac:dyDescent="0.45">
      <c r="B22" s="45"/>
      <c r="AC22"/>
      <c r="AD22"/>
      <c r="AE22"/>
      <c r="AF22"/>
      <c r="AG22"/>
      <c r="AH22"/>
    </row>
    <row r="23" spans="2:34" ht="15.5" x14ac:dyDescent="0.45">
      <c r="B23" s="45"/>
      <c r="AC23"/>
      <c r="AD23"/>
      <c r="AE23"/>
      <c r="AF23"/>
      <c r="AG23"/>
      <c r="AH23"/>
    </row>
    <row r="24" spans="2:34" ht="15.5" x14ac:dyDescent="0.45">
      <c r="B24" s="45"/>
      <c r="AC24"/>
      <c r="AD24"/>
      <c r="AE24"/>
      <c r="AF24"/>
      <c r="AG24"/>
      <c r="AH24"/>
    </row>
    <row r="25" spans="2:34" ht="15.5" x14ac:dyDescent="0.45">
      <c r="B25" s="45"/>
      <c r="AC25"/>
      <c r="AD25"/>
      <c r="AE25"/>
      <c r="AF25"/>
      <c r="AG25"/>
      <c r="AH25"/>
    </row>
    <row r="26" spans="2:34" ht="15.5" x14ac:dyDescent="0.45">
      <c r="B26" s="45"/>
      <c r="AC26"/>
      <c r="AD26"/>
      <c r="AE26"/>
      <c r="AF26"/>
      <c r="AG26"/>
      <c r="AH26"/>
    </row>
    <row r="27" spans="2:34" ht="15.5" x14ac:dyDescent="0.45">
      <c r="B27" s="45"/>
      <c r="AC27"/>
      <c r="AD27"/>
      <c r="AE27"/>
      <c r="AF27"/>
      <c r="AG27"/>
      <c r="AH27"/>
    </row>
    <row r="28" spans="2:34" ht="15.5" x14ac:dyDescent="0.45">
      <c r="B28" s="45"/>
      <c r="AC28"/>
      <c r="AD28"/>
      <c r="AE28"/>
      <c r="AF28"/>
      <c r="AG28"/>
      <c r="AH28"/>
    </row>
    <row r="29" spans="2:34" ht="15.5" x14ac:dyDescent="0.45">
      <c r="B29" s="45"/>
    </row>
    <row r="30" spans="2:34" ht="15.5" x14ac:dyDescent="0.45">
      <c r="B30" s="45"/>
    </row>
    <row r="31" spans="2:34" ht="15.5" x14ac:dyDescent="0.45">
      <c r="B31" s="45"/>
    </row>
    <row r="32" spans="2:34" ht="15.5" x14ac:dyDescent="0.45">
      <c r="B32" s="45"/>
    </row>
    <row r="33" spans="2:2" ht="15.5" x14ac:dyDescent="0.45">
      <c r="B33" s="45"/>
    </row>
    <row r="34" spans="2:2" ht="15.5" x14ac:dyDescent="0.45">
      <c r="B34" s="45"/>
    </row>
    <row r="35" spans="2:2" ht="15.5" x14ac:dyDescent="0.45">
      <c r="B35" s="45"/>
    </row>
    <row r="36" spans="2:2" ht="15.5" x14ac:dyDescent="0.45">
      <c r="B36" s="45"/>
    </row>
    <row r="37" spans="2:2" ht="15.5" x14ac:dyDescent="0.45">
      <c r="B37" s="45"/>
    </row>
    <row r="38" spans="2:2" ht="15.5" x14ac:dyDescent="0.45">
      <c r="B38" s="45"/>
    </row>
    <row r="39" spans="2:2" ht="15.5" x14ac:dyDescent="0.45">
      <c r="B39" s="45"/>
    </row>
    <row r="40" spans="2:2" ht="15.5" x14ac:dyDescent="0.45">
      <c r="B40" s="45"/>
    </row>
    <row r="41" spans="2:2" ht="15.5" x14ac:dyDescent="0.45">
      <c r="B41" s="45"/>
    </row>
    <row r="42" spans="2:2" ht="15.5" x14ac:dyDescent="0.45">
      <c r="B42" s="45"/>
    </row>
    <row r="43" spans="2:2" ht="15.5" x14ac:dyDescent="0.45">
      <c r="B43" s="45"/>
    </row>
    <row r="44" spans="2:2" ht="15.5" x14ac:dyDescent="0.45">
      <c r="B44" s="45"/>
    </row>
    <row r="45" spans="2:2" ht="15.5" x14ac:dyDescent="0.45">
      <c r="B45" s="45"/>
    </row>
    <row r="46" spans="2:2" ht="15.5" x14ac:dyDescent="0.45">
      <c r="B46" s="45"/>
    </row>
    <row r="47" spans="2:2" ht="15.5" x14ac:dyDescent="0.45">
      <c r="B47" s="45"/>
    </row>
    <row r="48" spans="2:2" ht="15.5" x14ac:dyDescent="0.45">
      <c r="B48" s="45"/>
    </row>
    <row r="49" spans="2:2" ht="15.5" x14ac:dyDescent="0.45">
      <c r="B49" s="45"/>
    </row>
    <row r="50" spans="2:2" ht="15.5" x14ac:dyDescent="0.45">
      <c r="B50" s="45"/>
    </row>
    <row r="51" spans="2:2" ht="15.5" x14ac:dyDescent="0.45">
      <c r="B51" s="45"/>
    </row>
    <row r="52" spans="2:2" ht="15.5" x14ac:dyDescent="0.45">
      <c r="B52" s="45"/>
    </row>
    <row r="53" spans="2:2" ht="15.5" x14ac:dyDescent="0.45">
      <c r="B53" s="45"/>
    </row>
    <row r="54" spans="2:2" ht="15.5" x14ac:dyDescent="0.45">
      <c r="B54" s="45"/>
    </row>
    <row r="55" spans="2:2" ht="15.5" x14ac:dyDescent="0.45">
      <c r="B55" s="45"/>
    </row>
    <row r="56" spans="2:2" ht="15.5" x14ac:dyDescent="0.45">
      <c r="B56" s="45"/>
    </row>
    <row r="57" spans="2:2" ht="15.5" x14ac:dyDescent="0.45">
      <c r="B57" s="45"/>
    </row>
    <row r="58" spans="2:2" ht="15.5" x14ac:dyDescent="0.45">
      <c r="B58" s="45"/>
    </row>
    <row r="59" spans="2:2" ht="15.5" x14ac:dyDescent="0.45">
      <c r="B59" s="45"/>
    </row>
    <row r="60" spans="2:2" ht="15.5" x14ac:dyDescent="0.45">
      <c r="B60" s="45"/>
    </row>
    <row r="61" spans="2:2" ht="15.5" x14ac:dyDescent="0.45">
      <c r="B61" s="45"/>
    </row>
    <row r="62" spans="2:2" ht="15.5" x14ac:dyDescent="0.45">
      <c r="B62" s="45"/>
    </row>
    <row r="63" spans="2:2" ht="15.5" x14ac:dyDescent="0.45">
      <c r="B63" s="45"/>
    </row>
    <row r="64" spans="2:2" ht="15.5" x14ac:dyDescent="0.45">
      <c r="B64" s="45"/>
    </row>
    <row r="65" spans="2:2" ht="15.5" x14ac:dyDescent="0.45">
      <c r="B65" s="45"/>
    </row>
    <row r="66" spans="2:2" ht="15.5" x14ac:dyDescent="0.45">
      <c r="B66" s="45"/>
    </row>
    <row r="67" spans="2:2" ht="15.5" x14ac:dyDescent="0.45">
      <c r="B67" s="45"/>
    </row>
    <row r="68" spans="2:2" ht="15.5" x14ac:dyDescent="0.45">
      <c r="B68" s="45"/>
    </row>
    <row r="69" spans="2:2" ht="15.5" x14ac:dyDescent="0.45">
      <c r="B69" s="45"/>
    </row>
    <row r="70" spans="2:2" ht="15.5" x14ac:dyDescent="0.45">
      <c r="B70" s="45"/>
    </row>
    <row r="71" spans="2:2" ht="15.5" x14ac:dyDescent="0.45">
      <c r="B71" s="45"/>
    </row>
    <row r="72" spans="2:2" ht="15.5" x14ac:dyDescent="0.45">
      <c r="B72" s="45"/>
    </row>
    <row r="73" spans="2:2" ht="15.5" x14ac:dyDescent="0.45">
      <c r="B73" s="45"/>
    </row>
    <row r="74" spans="2:2" ht="15.5" x14ac:dyDescent="0.45">
      <c r="B74" s="45"/>
    </row>
    <row r="75" spans="2:2" ht="15.5" x14ac:dyDescent="0.45">
      <c r="B75" s="45"/>
    </row>
    <row r="76" spans="2:2" ht="15.5" x14ac:dyDescent="0.45">
      <c r="B76" s="45"/>
    </row>
    <row r="77" spans="2:2" ht="15.5" x14ac:dyDescent="0.45">
      <c r="B77" s="45"/>
    </row>
    <row r="78" spans="2:2" ht="15.5" x14ac:dyDescent="0.45">
      <c r="B78" s="45"/>
    </row>
    <row r="79" spans="2:2" ht="15.5" x14ac:dyDescent="0.45">
      <c r="B79" s="45"/>
    </row>
    <row r="80" spans="2:2" ht="15.5" x14ac:dyDescent="0.45">
      <c r="B80" s="45"/>
    </row>
    <row r="81" spans="2:2" ht="15.5" x14ac:dyDescent="0.45">
      <c r="B81" s="45"/>
    </row>
    <row r="82" spans="2:2" ht="15.5" x14ac:dyDescent="0.45">
      <c r="B82" s="45"/>
    </row>
    <row r="83" spans="2:2" ht="15.5" x14ac:dyDescent="0.45">
      <c r="B83" s="45"/>
    </row>
    <row r="84" spans="2:2" ht="15.5" x14ac:dyDescent="0.45">
      <c r="B84" s="45"/>
    </row>
    <row r="85" spans="2:2" ht="15.5" x14ac:dyDescent="0.45">
      <c r="B85" s="45"/>
    </row>
    <row r="86" spans="2:2" ht="15.5" x14ac:dyDescent="0.45">
      <c r="B86" s="45"/>
    </row>
    <row r="87" spans="2:2" ht="15.5" x14ac:dyDescent="0.45">
      <c r="B87" s="45"/>
    </row>
    <row r="88" spans="2:2" ht="15.5" x14ac:dyDescent="0.45">
      <c r="B88" s="45"/>
    </row>
    <row r="89" spans="2:2" ht="15.5" x14ac:dyDescent="0.45">
      <c r="B89" s="45"/>
    </row>
    <row r="90" spans="2:2" ht="15.5" x14ac:dyDescent="0.45">
      <c r="B90" s="45"/>
    </row>
    <row r="91" spans="2:2" ht="15.5" x14ac:dyDescent="0.45">
      <c r="B91" s="45"/>
    </row>
    <row r="92" spans="2:2" ht="15.5" x14ac:dyDescent="0.45">
      <c r="B92" s="45"/>
    </row>
    <row r="93" spans="2:2" ht="15.5" x14ac:dyDescent="0.45">
      <c r="B93" s="45"/>
    </row>
    <row r="94" spans="2:2" ht="15.5" x14ac:dyDescent="0.45">
      <c r="B94" s="45"/>
    </row>
    <row r="95" spans="2:2" ht="15.5" x14ac:dyDescent="0.45">
      <c r="B95" s="45"/>
    </row>
    <row r="96" spans="2:2" ht="15.5" x14ac:dyDescent="0.45">
      <c r="B96" s="45"/>
    </row>
    <row r="97" spans="2:2" ht="15.5" x14ac:dyDescent="0.45">
      <c r="B97" s="45"/>
    </row>
    <row r="98" spans="2:2" ht="15.5" x14ac:dyDescent="0.45">
      <c r="B98" s="45"/>
    </row>
    <row r="99" spans="2:2" ht="15.5" x14ac:dyDescent="0.45">
      <c r="B99" s="45"/>
    </row>
    <row r="100" spans="2:2" ht="15.5" x14ac:dyDescent="0.45">
      <c r="B100" s="45"/>
    </row>
    <row r="101" spans="2:2" ht="15.5" x14ac:dyDescent="0.45">
      <c r="B101" s="45"/>
    </row>
    <row r="102" spans="2:2" ht="15.5" x14ac:dyDescent="0.45">
      <c r="B102" s="45"/>
    </row>
    <row r="103" spans="2:2" ht="15.5" x14ac:dyDescent="0.45">
      <c r="B103" s="45"/>
    </row>
    <row r="104" spans="2:2" ht="15.5" x14ac:dyDescent="0.45">
      <c r="B104" s="45"/>
    </row>
    <row r="105" spans="2:2" ht="15.5" x14ac:dyDescent="0.45">
      <c r="B105" s="45"/>
    </row>
    <row r="106" spans="2:2" ht="15.5" x14ac:dyDescent="0.45">
      <c r="B106" s="45"/>
    </row>
    <row r="107" spans="2:2" ht="15.5" x14ac:dyDescent="0.45">
      <c r="B107" s="45"/>
    </row>
    <row r="108" spans="2:2" ht="15.5" x14ac:dyDescent="0.45">
      <c r="B108" s="45"/>
    </row>
    <row r="109" spans="2:2" ht="15.5" x14ac:dyDescent="0.45">
      <c r="B109" s="45"/>
    </row>
    <row r="110" spans="2:2" ht="15.5" x14ac:dyDescent="0.45">
      <c r="B110" s="45"/>
    </row>
    <row r="111" spans="2:2" ht="15.5" x14ac:dyDescent="0.45">
      <c r="B111" s="45"/>
    </row>
    <row r="112" spans="2:2" ht="15.5" x14ac:dyDescent="0.45">
      <c r="B112" s="45"/>
    </row>
    <row r="113" spans="2:2" ht="15.5" x14ac:dyDescent="0.45">
      <c r="B113" s="45"/>
    </row>
    <row r="114" spans="2:2" ht="15.5" x14ac:dyDescent="0.45">
      <c r="B114" s="45"/>
    </row>
    <row r="115" spans="2:2" ht="15.5" x14ac:dyDescent="0.45">
      <c r="B115" s="45"/>
    </row>
    <row r="116" spans="2:2" ht="15.5" x14ac:dyDescent="0.45">
      <c r="B116" s="45"/>
    </row>
    <row r="117" spans="2:2" ht="15.5" x14ac:dyDescent="0.45">
      <c r="B117" s="45"/>
    </row>
    <row r="118" spans="2:2" ht="15.5" x14ac:dyDescent="0.45">
      <c r="B118" s="45"/>
    </row>
    <row r="119" spans="2:2" ht="15.5" x14ac:dyDescent="0.45">
      <c r="B119" s="45"/>
    </row>
    <row r="120" spans="2:2" ht="15.5" x14ac:dyDescent="0.45">
      <c r="B120" s="45"/>
    </row>
    <row r="121" spans="2:2" ht="15.5" x14ac:dyDescent="0.45">
      <c r="B121" s="45"/>
    </row>
    <row r="122" spans="2:2" ht="15.5" x14ac:dyDescent="0.45">
      <c r="B122" s="45"/>
    </row>
    <row r="123" spans="2:2" ht="15.5" x14ac:dyDescent="0.45">
      <c r="B123" s="45"/>
    </row>
    <row r="124" spans="2:2" ht="15.5" x14ac:dyDescent="0.45">
      <c r="B124" s="45"/>
    </row>
    <row r="125" spans="2:2" ht="15.5" x14ac:dyDescent="0.45">
      <c r="B125" s="45"/>
    </row>
    <row r="126" spans="2:2" ht="15.5" x14ac:dyDescent="0.45">
      <c r="B126" s="45"/>
    </row>
    <row r="127" spans="2:2" ht="15.5" x14ac:dyDescent="0.45">
      <c r="B127" s="45"/>
    </row>
    <row r="128" spans="2:2" ht="15.5" x14ac:dyDescent="0.45">
      <c r="B128" s="45"/>
    </row>
    <row r="129" spans="2:2" ht="15.5" x14ac:dyDescent="0.45">
      <c r="B129" s="45"/>
    </row>
    <row r="130" spans="2:2" ht="15.5" x14ac:dyDescent="0.45">
      <c r="B130" s="45"/>
    </row>
    <row r="131" spans="2:2" ht="15.5" x14ac:dyDescent="0.45">
      <c r="B131" s="45"/>
    </row>
    <row r="132" spans="2:2" ht="15.5" x14ac:dyDescent="0.45">
      <c r="B132" s="45"/>
    </row>
    <row r="133" spans="2:2" ht="15.5" x14ac:dyDescent="0.45">
      <c r="B133" s="45"/>
    </row>
    <row r="134" spans="2:2" ht="15.5" x14ac:dyDescent="0.45">
      <c r="B134" s="45"/>
    </row>
    <row r="135" spans="2:2" ht="15.5" x14ac:dyDescent="0.45">
      <c r="B135" s="45"/>
    </row>
    <row r="136" spans="2:2" ht="15.5" x14ac:dyDescent="0.45">
      <c r="B136" s="45"/>
    </row>
    <row r="137" spans="2:2" ht="15.5" x14ac:dyDescent="0.45">
      <c r="B137" s="45"/>
    </row>
    <row r="138" spans="2:2" ht="15.5" x14ac:dyDescent="0.45">
      <c r="B138" s="45"/>
    </row>
    <row r="139" spans="2:2" ht="15.5" x14ac:dyDescent="0.45">
      <c r="B139" s="45"/>
    </row>
    <row r="140" spans="2:2" ht="15.5" x14ac:dyDescent="0.45">
      <c r="B140" s="45"/>
    </row>
    <row r="141" spans="2:2" ht="15.5" x14ac:dyDescent="0.45">
      <c r="B141" s="45"/>
    </row>
    <row r="142" spans="2:2" ht="15.5" x14ac:dyDescent="0.45">
      <c r="B142" s="45"/>
    </row>
    <row r="143" spans="2:2" ht="15.5" x14ac:dyDescent="0.45">
      <c r="B143" s="45"/>
    </row>
    <row r="144" spans="2:2" ht="15.5" x14ac:dyDescent="0.45">
      <c r="B144" s="45"/>
    </row>
    <row r="145" spans="2:2" ht="15.5" x14ac:dyDescent="0.45">
      <c r="B145" s="45"/>
    </row>
    <row r="146" spans="2:2" ht="15.5" x14ac:dyDescent="0.45">
      <c r="B146" s="45"/>
    </row>
    <row r="147" spans="2:2" ht="15.5" x14ac:dyDescent="0.45">
      <c r="B147" s="45"/>
    </row>
    <row r="148" spans="2:2" ht="15.5" x14ac:dyDescent="0.45">
      <c r="B148" s="45"/>
    </row>
    <row r="149" spans="2:2" ht="15.5" x14ac:dyDescent="0.45">
      <c r="B149" s="45"/>
    </row>
    <row r="150" spans="2:2" ht="15.5" x14ac:dyDescent="0.45">
      <c r="B150" s="45"/>
    </row>
    <row r="151" spans="2:2" ht="15.5" x14ac:dyDescent="0.45">
      <c r="B151" s="45"/>
    </row>
    <row r="152" spans="2:2" ht="15.5" x14ac:dyDescent="0.45">
      <c r="B152" s="45"/>
    </row>
    <row r="153" spans="2:2" ht="15.5" x14ac:dyDescent="0.45">
      <c r="B153" s="45"/>
    </row>
    <row r="154" spans="2:2" ht="15.5" x14ac:dyDescent="0.45">
      <c r="B154" s="45"/>
    </row>
    <row r="155" spans="2:2" ht="15.5" x14ac:dyDescent="0.45">
      <c r="B155" s="45"/>
    </row>
    <row r="156" spans="2:2" ht="15.5" x14ac:dyDescent="0.45">
      <c r="B156" s="45"/>
    </row>
    <row r="157" spans="2:2" ht="15.5" x14ac:dyDescent="0.45">
      <c r="B157" s="45"/>
    </row>
    <row r="158" spans="2:2" ht="15.5" x14ac:dyDescent="0.45">
      <c r="B158" s="45"/>
    </row>
    <row r="159" spans="2:2" ht="15.5" x14ac:dyDescent="0.45">
      <c r="B159" s="45"/>
    </row>
    <row r="160" spans="2:2" ht="15.5" x14ac:dyDescent="0.45">
      <c r="B160" s="45"/>
    </row>
    <row r="161" spans="2:2" ht="15.5" x14ac:dyDescent="0.45">
      <c r="B161" s="45"/>
    </row>
  </sheetData>
  <autoFilter ref="A8:AK9" xr:uid="{F8E21EA6-F79C-4B49-AF50-B3CD13DB89C9}">
    <sortState xmlns:xlrd2="http://schemas.microsoft.com/office/spreadsheetml/2017/richdata2" ref="A10:AK9">
      <sortCondition ref="A8:A9"/>
    </sortState>
  </autoFilter>
  <sortState xmlns:xlrd2="http://schemas.microsoft.com/office/spreadsheetml/2017/richdata2" ref="AK9">
    <sortCondition ref="AK9"/>
  </sortState>
  <mergeCells count="27">
    <mergeCell ref="AH7:AH8"/>
    <mergeCell ref="V7:V8"/>
    <mergeCell ref="AD7:AD8"/>
    <mergeCell ref="AE7:AE8"/>
    <mergeCell ref="AF7:AF8"/>
    <mergeCell ref="AG7:AG8"/>
    <mergeCell ref="N7:N8"/>
    <mergeCell ref="Q7:Q8"/>
    <mergeCell ref="S7:S8"/>
    <mergeCell ref="T7:T8"/>
    <mergeCell ref="U7:U8"/>
    <mergeCell ref="X6:AA6"/>
    <mergeCell ref="AC6:AH6"/>
    <mergeCell ref="A7:A8"/>
    <mergeCell ref="B7:B8"/>
    <mergeCell ref="C7:C8"/>
    <mergeCell ref="D7:D8"/>
    <mergeCell ref="E7:E8"/>
    <mergeCell ref="F7:F8"/>
    <mergeCell ref="G7:G8"/>
    <mergeCell ref="H7:H8"/>
    <mergeCell ref="AC7:AC8"/>
    <mergeCell ref="I7:I8"/>
    <mergeCell ref="J7:J8"/>
    <mergeCell ref="K7:K8"/>
    <mergeCell ref="L7:L8"/>
    <mergeCell ref="M7:M8"/>
  </mergeCells>
  <phoneticPr fontId="15" type="noConversion"/>
  <conditionalFormatting sqref="C9">
    <cfRule type="containsText" dxfId="7" priority="11" operator="containsText" text="69">
      <formula>NOT(ISERROR(SEARCH("69",C9)))</formula>
    </cfRule>
    <cfRule type="containsText" dxfId="6" priority="12" operator="containsText" text="59">
      <formula>NOT(ISERROR(SEARCH("59",C9)))</formula>
    </cfRule>
    <cfRule type="containsText" dxfId="5" priority="13" operator="containsText" text="49">
      <formula>NOT(ISERROR(SEARCH("49",C9)))</formula>
    </cfRule>
    <cfRule type="containsText" dxfId="4" priority="14" operator="containsText" text="44">
      <formula>NOT(ISERROR(SEARCH("44",C9)))</formula>
    </cfRule>
    <cfRule type="containsText" dxfId="3" priority="15" stopIfTrue="1" operator="containsText" text="39">
      <formula>NOT(ISERROR(SEARCH("39",C9)))</formula>
    </cfRule>
  </conditionalFormatting>
  <conditionalFormatting sqref="AI1:AI1048576">
    <cfRule type="duplicateValues" dxfId="2" priority="5"/>
    <cfRule type="duplicateValues" dxfId="1" priority="9"/>
  </conditionalFormatting>
  <conditionalFormatting sqref="AK9">
    <cfRule type="duplicateValues" dxfId="0" priority="6"/>
  </conditionalFormatting>
  <printOptions horizontalCentered="1"/>
  <pageMargins left="0" right="0" top="0.59055118110236227" bottom="1.4173228346456694" header="0.59055118110236227" footer="0.31496062992125984"/>
  <pageSetup paperSize="9" orientation="landscape" useFirstPageNumber="1" r:id="rId1"/>
  <headerFooter>
    <oddHeader>&amp;R&amp;"Arial,Bold Italic"&amp;9&amp;UPage-&amp;P of &amp;N</oddHeader>
    <oddFooter>&amp;L&amp;13Course Lecturer:Prof. E.E. Ogheneovo/Dr. V.L. Giadom/
Mr. U. O. Daniel
Signature_____Date
Dean Name:Prof. C. Ugwu
Signature _____Date ___&amp;R&amp;12 Moderators' Name:  Mr. A.W. Uwem
Signature_____ Date 
HOD's Name: Dr. M. O. Musa
Signature _____Date___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COS101.1-IFT</vt:lpstr>
      <vt:lpstr>'COS101.1-IFT'!Print_Area</vt:lpstr>
      <vt:lpstr>'COS101.1-IFT'!Print_Area_0</vt:lpstr>
      <vt:lpstr>'COS101.1-IFT'!Print_Titles</vt:lpstr>
      <vt:lpstr>'COS101.1-IFT'!Print_Titles_0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Kadana</dc:creator>
  <cp:lastModifiedBy>Friday Joshua</cp:lastModifiedBy>
  <cp:revision>14</cp:revision>
  <cp:lastPrinted>2025-05-26T09:40:41Z</cp:lastPrinted>
  <dcterms:created xsi:type="dcterms:W3CDTF">2010-11-23T14:30:00Z</dcterms:created>
  <dcterms:modified xsi:type="dcterms:W3CDTF">2026-02-27T12:27:01Z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1033-11.2.0.9031</vt:lpwstr>
  </property>
</Properties>
</file>